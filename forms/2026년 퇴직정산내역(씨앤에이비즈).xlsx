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wnloads\"/>
    </mc:Choice>
  </mc:AlternateContent>
  <xr:revisionPtr revIDLastSave="0" documentId="8_{A8BE00DA-528E-40FF-A84F-79DD515C392F}" xr6:coauthVersionLast="47" xr6:coauthVersionMax="47" xr10:uidLastSave="{00000000-0000-0000-0000-000000000000}"/>
  <bookViews>
    <workbookView xWindow="-120" yWindow="-120" windowWidth="38640" windowHeight="21120" xr2:uid="{CBD92A33-00BC-4E74-90CB-2DAB119ADD3B}"/>
  </bookViews>
  <sheets>
    <sheet name="7월 상실자" sheetId="7" r:id="rId1"/>
  </sheets>
  <definedNames>
    <definedName name="_xlnm._FilterDatabase" localSheetId="0">'7월 상실자'!$A$1:$AB$1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7" l="1"/>
  <c r="Y16" i="7"/>
  <c r="R16" i="7"/>
  <c r="Q16" i="7"/>
  <c r="N16" i="7"/>
  <c r="M16" i="7"/>
  <c r="O15" i="7"/>
  <c r="P15" i="7" s="1"/>
  <c r="S14" i="7"/>
  <c r="O14" i="7"/>
  <c r="O16" i="7" s="1"/>
  <c r="Z13" i="7"/>
  <c r="Y13" i="7"/>
  <c r="R13" i="7"/>
  <c r="Q13" i="7"/>
  <c r="N13" i="7"/>
  <c r="M13" i="7"/>
  <c r="O12" i="7"/>
  <c r="P12" i="7" s="1"/>
  <c r="S11" i="7"/>
  <c r="O11" i="7"/>
  <c r="O13" i="7" s="1"/>
  <c r="Z10" i="7"/>
  <c r="Y10" i="7"/>
  <c r="R10" i="7"/>
  <c r="Q10" i="7"/>
  <c r="N10" i="7"/>
  <c r="M10" i="7"/>
  <c r="O9" i="7"/>
  <c r="P9" i="7" s="1"/>
  <c r="S8" i="7"/>
  <c r="O8" i="7"/>
  <c r="O10" i="7" s="1"/>
  <c r="Z7" i="7"/>
  <c r="Y7" i="7"/>
  <c r="R7" i="7"/>
  <c r="Q7" i="7"/>
  <c r="N7" i="7"/>
  <c r="M7" i="7"/>
  <c r="O6" i="7"/>
  <c r="P6" i="7" s="1"/>
  <c r="S5" i="7"/>
  <c r="O5" i="7"/>
  <c r="Z4" i="7"/>
  <c r="Y4" i="7"/>
  <c r="R4" i="7"/>
  <c r="Q4" i="7"/>
  <c r="N4" i="7"/>
  <c r="M4" i="7"/>
  <c r="O3" i="7"/>
  <c r="S2" i="7"/>
  <c r="O7" i="7" l="1"/>
  <c r="S15" i="7"/>
  <c r="S16" i="7" s="1"/>
  <c r="P16" i="7"/>
  <c r="U14" i="7"/>
  <c r="T14" i="7"/>
  <c r="P13" i="7"/>
  <c r="S12" i="7"/>
  <c r="S13" i="7" s="1"/>
  <c r="T11" i="7"/>
  <c r="U11" i="7"/>
  <c r="S9" i="7"/>
  <c r="S10" i="7" s="1"/>
  <c r="P10" i="7"/>
  <c r="T8" i="7"/>
  <c r="U8" i="7"/>
  <c r="S6" i="7"/>
  <c r="S7" i="7" s="1"/>
  <c r="P7" i="7"/>
  <c r="U5" i="7"/>
  <c r="T5" i="7"/>
  <c r="O4" i="7"/>
  <c r="P3" i="7"/>
  <c r="U2" i="7"/>
  <c r="T2" i="7"/>
  <c r="T15" i="7" l="1"/>
  <c r="V15" i="7" s="1"/>
  <c r="X15" i="7" s="1"/>
  <c r="AB15" i="7" s="1"/>
  <c r="AG15" i="7" s="1"/>
  <c r="AI15" i="7" s="1"/>
  <c r="U15" i="7"/>
  <c r="W14" i="7"/>
  <c r="V14" i="7"/>
  <c r="T16" i="7"/>
  <c r="U12" i="7"/>
  <c r="W12" i="7" s="1"/>
  <c r="AA12" i="7" s="1"/>
  <c r="AF12" i="7" s="1"/>
  <c r="AH12" i="7" s="1"/>
  <c r="T12" i="7"/>
  <c r="V12" i="7" s="1"/>
  <c r="X12" i="7" s="1"/>
  <c r="AB12" i="7" s="1"/>
  <c r="AG12" i="7" s="1"/>
  <c r="AI12" i="7" s="1"/>
  <c r="V11" i="7"/>
  <c r="T13" i="7"/>
  <c r="W11" i="7"/>
  <c r="U13" i="7"/>
  <c r="U9" i="7"/>
  <c r="W9" i="7" s="1"/>
  <c r="AA9" i="7" s="1"/>
  <c r="AF9" i="7" s="1"/>
  <c r="AH9" i="7" s="1"/>
  <c r="T9" i="7"/>
  <c r="V8" i="7"/>
  <c r="U10" i="7"/>
  <c r="W8" i="7"/>
  <c r="T6" i="7"/>
  <c r="U6" i="7"/>
  <c r="W5" i="7"/>
  <c r="V5" i="7"/>
  <c r="S3" i="7"/>
  <c r="P4" i="7"/>
  <c r="W2" i="7"/>
  <c r="V2" i="7"/>
  <c r="W6" i="7" l="1"/>
  <c r="U7" i="7"/>
  <c r="AA14" i="7"/>
  <c r="W16" i="7"/>
  <c r="X14" i="7"/>
  <c r="V16" i="7"/>
  <c r="X11" i="7"/>
  <c r="V13" i="7"/>
  <c r="W13" i="7"/>
  <c r="AA11" i="7"/>
  <c r="X8" i="7"/>
  <c r="V10" i="7"/>
  <c r="AA8" i="7"/>
  <c r="W10" i="7"/>
  <c r="AA5" i="7"/>
  <c r="X5" i="7"/>
  <c r="S4" i="7"/>
  <c r="T3" i="7"/>
  <c r="U3" i="7"/>
  <c r="AA2" i="7"/>
  <c r="X2" i="7"/>
  <c r="W15" i="7"/>
  <c r="AA15" i="7" s="1"/>
  <c r="AF15" i="7" s="1"/>
  <c r="AH15" i="7" s="1"/>
  <c r="U16" i="7"/>
  <c r="V9" i="7"/>
  <c r="X9" i="7" s="1"/>
  <c r="AB9" i="7" s="1"/>
  <c r="AG9" i="7" s="1"/>
  <c r="AI9" i="7" s="1"/>
  <c r="T10" i="7"/>
  <c r="V6" i="7"/>
  <c r="T7" i="7"/>
  <c r="AA6" i="7" l="1"/>
  <c r="W7" i="7"/>
  <c r="X6" i="7"/>
  <c r="V7" i="7"/>
  <c r="AF14" i="7"/>
  <c r="AH14" i="7" s="1"/>
  <c r="AA16" i="7"/>
  <c r="AC16" i="7" s="1"/>
  <c r="AB14" i="7"/>
  <c r="X16" i="7"/>
  <c r="X13" i="7"/>
  <c r="AB11" i="7"/>
  <c r="AF11" i="7"/>
  <c r="AH11" i="7" s="1"/>
  <c r="AA13" i="7"/>
  <c r="AC13" i="7" s="1"/>
  <c r="X10" i="7"/>
  <c r="AB8" i="7"/>
  <c r="AA10" i="7"/>
  <c r="AC10" i="7" s="1"/>
  <c r="AF8" i="7"/>
  <c r="AH8" i="7" s="1"/>
  <c r="AF5" i="7"/>
  <c r="AH5" i="7" s="1"/>
  <c r="AB5" i="7"/>
  <c r="T4" i="7"/>
  <c r="V3" i="7"/>
  <c r="U4" i="7"/>
  <c r="W3" i="7"/>
  <c r="AF2" i="7"/>
  <c r="AH2" i="7" s="1"/>
  <c r="AB2" i="7"/>
  <c r="AF6" i="7" l="1"/>
  <c r="AH6" i="7" s="1"/>
  <c r="AA7" i="7"/>
  <c r="AC7" i="7" s="1"/>
  <c r="AB6" i="7"/>
  <c r="X7" i="7"/>
  <c r="AG14" i="7"/>
  <c r="AI14" i="7" s="1"/>
  <c r="AB16" i="7"/>
  <c r="AD16" i="7" s="1"/>
  <c r="AG11" i="7"/>
  <c r="AI11" i="7" s="1"/>
  <c r="AB13" i="7"/>
  <c r="AD13" i="7" s="1"/>
  <c r="AG8" i="7"/>
  <c r="AI8" i="7" s="1"/>
  <c r="AB10" i="7"/>
  <c r="AD10" i="7" s="1"/>
  <c r="AG5" i="7"/>
  <c r="AI5" i="7" s="1"/>
  <c r="V4" i="7"/>
  <c r="X3" i="7"/>
  <c r="W4" i="7"/>
  <c r="AA3" i="7"/>
  <c r="AG2" i="7"/>
  <c r="AI2" i="7" s="1"/>
  <c r="AG6" i="7" l="1"/>
  <c r="AI6" i="7" s="1"/>
  <c r="AB7" i="7"/>
  <c r="AD7" i="7" s="1"/>
  <c r="X4" i="7"/>
  <c r="AB3" i="7"/>
  <c r="AA4" i="7"/>
  <c r="AC4" i="7" s="1"/>
  <c r="AF3" i="7"/>
  <c r="AH3" i="7" s="1"/>
  <c r="AB4" i="7" l="1"/>
  <c r="AD4" i="7" s="1"/>
  <c r="AG3" i="7"/>
  <c r="AI3" i="7" s="1"/>
</calcChain>
</file>

<file path=xl/sharedStrings.xml><?xml version="1.0" encoding="utf-8"?>
<sst xmlns="http://schemas.openxmlformats.org/spreadsheetml/2006/main" count="57" uniqueCount="57">
  <si>
    <t>순번</t>
    <phoneticPr fontId="4" type="noConversion"/>
  </si>
  <si>
    <t>이름</t>
    <phoneticPr fontId="4" type="noConversion"/>
  </si>
  <si>
    <t>주민번호</t>
    <phoneticPr fontId="4" type="noConversion"/>
  </si>
  <si>
    <t>성별</t>
    <phoneticPr fontId="3" type="noConversion"/>
  </si>
  <si>
    <t>은행</t>
    <phoneticPr fontId="3" type="noConversion"/>
  </si>
  <si>
    <t>계좌번호</t>
    <phoneticPr fontId="3" type="noConversion"/>
  </si>
  <si>
    <t>입사일자</t>
    <phoneticPr fontId="4" type="noConversion"/>
  </si>
  <si>
    <t>퇴사일자</t>
    <phoneticPr fontId="4" type="noConversion"/>
  </si>
  <si>
    <t>년도</t>
    <phoneticPr fontId="3" type="noConversion"/>
  </si>
  <si>
    <t>근무개월</t>
    <phoneticPr fontId="3" type="noConversion"/>
  </si>
  <si>
    <t>적용개월</t>
    <phoneticPr fontId="3" type="noConversion"/>
  </si>
  <si>
    <t>당월 급여</t>
    <phoneticPr fontId="3" type="noConversion"/>
  </si>
  <si>
    <t>1~12월 급여</t>
    <phoneticPr fontId="4" type="noConversion"/>
  </si>
  <si>
    <t>비과세
급여</t>
    <phoneticPr fontId="3" type="noConversion"/>
  </si>
  <si>
    <t>과세급여</t>
    <phoneticPr fontId="3" type="noConversion"/>
  </si>
  <si>
    <t>과세급여(평균)</t>
    <phoneticPr fontId="3" type="noConversion"/>
  </si>
  <si>
    <t>급여건강(ERP)</t>
    <phoneticPr fontId="3" type="noConversion"/>
  </si>
  <si>
    <t>급여요양(ERP)</t>
    <phoneticPr fontId="3" type="noConversion"/>
  </si>
  <si>
    <t>정산건강</t>
    <phoneticPr fontId="3" type="noConversion"/>
  </si>
  <si>
    <t>정산요양</t>
    <phoneticPr fontId="3" type="noConversion"/>
  </si>
  <si>
    <t>정산건강 계</t>
    <phoneticPr fontId="3" type="noConversion"/>
  </si>
  <si>
    <t>정산요양 계</t>
    <phoneticPr fontId="3" type="noConversion"/>
  </si>
  <si>
    <t>차액건강</t>
    <phoneticPr fontId="3" type="noConversion"/>
  </si>
  <si>
    <t>차액요양</t>
    <phoneticPr fontId="3" type="noConversion"/>
  </si>
  <si>
    <t>22년 요양</t>
    <phoneticPr fontId="3" type="noConversion"/>
  </si>
  <si>
    <t>급여반영 건강</t>
    <phoneticPr fontId="3" type="noConversion"/>
  </si>
  <si>
    <t>급여반영 요양</t>
    <phoneticPr fontId="3" type="noConversion"/>
  </si>
  <si>
    <t>순번</t>
  </si>
  <si>
    <t>작성일자</t>
  </si>
  <si>
    <t>발급번호</t>
  </si>
  <si>
    <t>서식명</t>
  </si>
  <si>
    <t>상세처리내역</t>
  </si>
  <si>
    <t>증번호</t>
  </si>
  <si>
    <t>가입자▲</t>
  </si>
  <si>
    <t>가입자주민번호</t>
  </si>
  <si>
    <t>피부성명</t>
  </si>
  <si>
    <t>피부주민번호</t>
  </si>
  <si>
    <t>퇴직전3개월평균보수 처리내역</t>
  </si>
  <si>
    <t>퇴직정산(당해)</t>
  </si>
  <si>
    <t>퇴직정산(전년)</t>
  </si>
  <si>
    <t>요양퇴직정산(당해)</t>
  </si>
  <si>
    <t>요양퇴직정산(전년)</t>
  </si>
  <si>
    <t>퇴직전3개월평균보수</t>
  </si>
  <si>
    <t>처리일자</t>
  </si>
  <si>
    <t>처리구분</t>
  </si>
  <si>
    <t>상실일</t>
  </si>
  <si>
    <t>소득월액</t>
  </si>
  <si>
    <t>문서명</t>
  </si>
  <si>
    <t>정산건강(공단)</t>
    <phoneticPr fontId="3" type="noConversion"/>
  </si>
  <si>
    <t>정산요양(공단)</t>
    <phoneticPr fontId="3" type="noConversion"/>
  </si>
  <si>
    <t>비고</t>
    <phoneticPr fontId="3" type="noConversion"/>
  </si>
  <si>
    <t>24년 건강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</si>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</sst>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</font>
    <font>
      <sz val="11"/>
      <color rgb="FF000000"/>
      <name val="Calibri"/>
      <family val="2"/>
    </font>
    <font>
      <sz val="9"/>
      <color indexed="8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1" applyFont="1" applyFill="1" applyBorder="1">
      <alignment vertical="center"/>
    </xf>
    <xf numFmtId="41" fontId="9" fillId="4" borderId="1" xfId="1" applyFont="1" applyFill="1" applyBorder="1">
      <alignment vertical="center"/>
    </xf>
    <xf numFmtId="41" fontId="9" fillId="0" borderId="1" xfId="1" applyFont="1" applyBorder="1">
      <alignment vertical="center"/>
    </xf>
    <xf numFmtId="41" fontId="7" fillId="0" borderId="1" xfId="1" applyFont="1" applyBorder="1">
      <alignment vertical="center"/>
    </xf>
    <xf numFmtId="41" fontId="7" fillId="4" borderId="1" xfId="1" applyFont="1" applyFill="1" applyBorder="1">
      <alignment vertical="center"/>
    </xf>
    <xf numFmtId="41" fontId="7" fillId="0" borderId="1" xfId="0" applyNumberFormat="1" applyFont="1" applyBorder="1" applyAlignment="1">
      <alignment horizontal="center" vertical="center"/>
    </xf>
    <xf numFmtId="41" fontId="11" fillId="4" borderId="1" xfId="1" applyFont="1" applyFill="1" applyBorder="1">
      <alignment vertical="center"/>
    </xf>
    <xf numFmtId="41" fontId="11" fillId="5" borderId="1" xfId="0" applyNumberFormat="1" applyFont="1" applyFill="1" applyBorder="1" applyAlignment="1">
      <alignment horizontal="center" vertical="center"/>
    </xf>
    <xf numFmtId="41" fontId="7" fillId="0" borderId="0" xfId="0" applyNumberFormat="1" applyFont="1">
      <alignment vertical="center"/>
    </xf>
    <xf numFmtId="0" fontId="10" fillId="0" borderId="1" xfId="0" applyFont="1" applyBorder="1" applyAlignment="1">
      <alignment horizontal="center" vertical="center"/>
    </xf>
    <xf numFmtId="14" fontId="10" fillId="0" borderId="1" xfId="2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41" fontId="12" fillId="6" borderId="1" xfId="1" applyFont="1" applyFill="1" applyBorder="1">
      <alignment vertical="center"/>
    </xf>
    <xf numFmtId="41" fontId="9" fillId="6" borderId="1" xfId="1" applyFont="1" applyFill="1" applyBorder="1">
      <alignment vertical="center"/>
    </xf>
    <xf numFmtId="0" fontId="0" fillId="0" borderId="0" xfId="0" quotePrefix="1" applyAlignment="1">
      <alignment horizontal="center" vertical="center"/>
    </xf>
    <xf numFmtId="41" fontId="7" fillId="0" borderId="0" xfId="1" applyFont="1">
      <alignment vertical="center"/>
    </xf>
    <xf numFmtId="41" fontId="11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1" xfId="1" applyNumberFormat="1" applyFont="1" applyBorder="1">
      <alignment vertical="center"/>
    </xf>
    <xf numFmtId="0" fontId="9" fillId="0" borderId="1" xfId="4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7" borderId="3" xfId="0" applyNumberFormat="1" applyFont="1" applyFill="1" applyBorder="1" applyAlignment="1">
      <alignment horizontal="left" vertical="center" wrapText="1"/>
    </xf>
    <xf numFmtId="49" fontId="17" fillId="7" borderId="3" xfId="0" applyNumberFormat="1" applyFont="1" applyFill="1" applyBorder="1" applyAlignment="1">
      <alignment horizontal="center" vertical="center" wrapText="1"/>
    </xf>
    <xf numFmtId="3" fontId="17" fillId="7" borderId="3" xfId="0" applyNumberFormat="1" applyFont="1" applyFill="1" applyBorder="1" applyAlignment="1">
      <alignment horizontal="left" vertical="center" wrapText="1"/>
    </xf>
    <xf numFmtId="14" fontId="10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 wrapText="1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7" borderId="3" xfId="0" applyNumberFormat="1" applyFont="1" applyFill="1" applyBorder="1" applyAlignment="1">
      <alignment horizontal="left" vertical="center" wrapText="1"/>
    </xf>
    <xf numFmtId="3" fontId="19" fillId="7" borderId="3" xfId="0" applyNumberFormat="1" applyFont="1" applyFill="1" applyBorder="1" applyAlignment="1">
      <alignment horizontal="left" vertical="center" wrapText="1"/>
    </xf>
    <xf numFmtId="49" fontId="20" fillId="7" borderId="2" xfId="0" applyNumberFormat="1" applyFont="1" applyFill="1" applyBorder="1" applyAlignment="1">
      <alignment horizontal="center" vertical="center" wrapText="1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7" borderId="3" xfId="0" applyNumberFormat="1" applyFont="1" applyFill="1" applyBorder="1" applyAlignment="1">
      <alignment horizontal="left" vertical="center" wrapText="1"/>
    </xf>
    <xf numFmtId="3" fontId="20" fillId="7" borderId="3" xfId="0" applyNumberFormat="1" applyFont="1" applyFill="1" applyBorder="1" applyAlignment="1">
      <alignment horizontal="left" vertical="center" wrapText="1"/>
    </xf>
    <xf numFmtId="41" fontId="7" fillId="0" borderId="0" xfId="0" applyNumberFormat="1" applyFont="1" applyAlignment="1">
      <alignment horizontal="center" vertical="center"/>
    </xf>
  </cellXfs>
  <cellStyles count="9">
    <cellStyle name="쉼표 [0]" xfId="1" builtinId="6"/>
    <cellStyle name="쉼표 [0] 10 10" xfId="6" xr:uid="{0E7E55EB-4527-4A46-B355-745E6C44E536}"/>
    <cellStyle name="표준" xfId="0" builtinId="0"/>
    <cellStyle name="표준 13" xfId="8" xr:uid="{A6F6B201-58AB-4A84-936B-C7A6A5B0AA84}"/>
    <cellStyle name="표준 2" xfId="5" xr:uid="{EA77A536-DD42-4B15-A7CB-3C935A6683F2}"/>
    <cellStyle name="표준 2 26" xfId="4" xr:uid="{207260A1-71F2-4791-80CC-7DFFB7048525}"/>
    <cellStyle name="표준 2 3 3" xfId="2" xr:uid="{EC91D098-EF7E-4F89-9225-6FB89CC8CF57}"/>
    <cellStyle name="표준 34" xfId="3" xr:uid="{D1C713B9-5A11-49D8-AE0F-23F9BB47B773}"/>
    <cellStyle name="표준 34 2" xfId="7" xr:uid="{16D73922-9527-40AE-B409-99FAC200F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E1A3-31C0-4D83-AE3B-F6858B8BB6B2}">
  <dimension ref="A1:AI3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28" sqref="R28"/>
    </sheetView>
  </sheetViews>
  <sheetFormatPr defaultRowHeight="12" x14ac:dyDescent="0.3"/>
  <cols>
    <col min="1" max="1" width="3.5" style="8" customWidth="1"/>
    <col min="2" max="2" width="7.125" style="8" customWidth="1"/>
    <col min="3" max="3" width="13.875" style="8" bestFit="1" customWidth="1"/>
    <col min="4" max="5" width="10.5" style="8" hidden="1" customWidth="1"/>
    <col min="6" max="6" width="15.5" style="8" hidden="1" customWidth="1"/>
    <col min="7" max="7" width="9.75" style="8" bestFit="1" customWidth="1"/>
    <col min="8" max="8" width="9" style="8" customWidth="1"/>
    <col min="9" max="9" width="6.5" style="8" bestFit="1" customWidth="1"/>
    <col min="10" max="10" width="4.375" style="8" customWidth="1"/>
    <col min="11" max="11" width="6.5" style="8" customWidth="1"/>
    <col min="12" max="12" width="9.375" style="30" customWidth="1"/>
    <col min="13" max="13" width="11.5" style="30" bestFit="1" customWidth="1"/>
    <col min="14" max="14" width="7.75" style="30" customWidth="1"/>
    <col min="15" max="16" width="12" style="30" bestFit="1" customWidth="1"/>
    <col min="17" max="17" width="9.75" style="30" customWidth="1"/>
    <col min="18" max="18" width="9.125" style="30" customWidth="1"/>
    <col min="19" max="20" width="7.75" style="30" customWidth="1"/>
    <col min="21" max="24" width="9" style="30"/>
    <col min="25" max="26" width="9.125" style="31" customWidth="1"/>
    <col min="27" max="28" width="9.125" style="8" customWidth="1"/>
    <col min="29" max="16384" width="9" style="8"/>
  </cols>
  <sheetData>
    <row r="1" spans="1:35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51</v>
      </c>
      <c r="Z1" s="7" t="s">
        <v>24</v>
      </c>
      <c r="AA1" s="7" t="s">
        <v>25</v>
      </c>
      <c r="AB1" s="7" t="s">
        <v>26</v>
      </c>
    </row>
    <row r="2" spans="1:35" ht="18.75" customHeight="1" x14ac:dyDescent="0.3">
      <c r="A2" s="36" t="s">
        <v>52</v>
      </c>
      <c r="B2" s="47"/>
      <c r="C2" s="47"/>
      <c r="D2" s="48"/>
      <c r="E2" s="47"/>
      <c r="F2" s="47"/>
      <c r="G2" s="40"/>
      <c r="H2" s="49"/>
      <c r="I2" s="11">
        <v>2025</v>
      </c>
      <c r="J2" s="11"/>
      <c r="K2" s="12"/>
      <c r="L2" s="13"/>
      <c r="M2" s="14"/>
      <c r="N2" s="14">
        <v>0</v>
      </c>
      <c r="O2" s="15"/>
      <c r="P2" s="37"/>
      <c r="Q2" s="17"/>
      <c r="R2" s="17"/>
      <c r="S2" s="16">
        <f>ROUNDDOWN(P2*3.545%,-1)</f>
        <v>0</v>
      </c>
      <c r="T2" s="18">
        <f>ROUNDDOWN(S2*12.95%,-1)</f>
        <v>0</v>
      </c>
      <c r="U2" s="16">
        <f>S2*K2</f>
        <v>0</v>
      </c>
      <c r="V2" s="16">
        <f>T2*K2</f>
        <v>0</v>
      </c>
      <c r="W2" s="16">
        <f>U2-Q2</f>
        <v>0</v>
      </c>
      <c r="X2" s="16">
        <f>V2-R2</f>
        <v>0</v>
      </c>
      <c r="Y2" s="19"/>
      <c r="Z2" s="19"/>
      <c r="AA2" s="20">
        <f>W2+Y2</f>
        <v>0</v>
      </c>
      <c r="AB2" s="20">
        <f>X2+Z2</f>
        <v>0</v>
      </c>
      <c r="AC2" s="17"/>
      <c r="AD2" s="17"/>
      <c r="AF2" s="21">
        <f>AA2-AC2</f>
        <v>0</v>
      </c>
      <c r="AG2" s="21">
        <f>AB2-AD2</f>
        <v>0</v>
      </c>
      <c r="AH2" s="21">
        <f>AF2*2</f>
        <v>0</v>
      </c>
      <c r="AI2" s="21">
        <f>AG2*2</f>
        <v>0</v>
      </c>
    </row>
    <row r="3" spans="1:35" ht="18.75" customHeight="1" x14ac:dyDescent="0.3">
      <c r="A3" s="9"/>
      <c r="B3" s="22"/>
      <c r="C3" s="22"/>
      <c r="D3" s="22"/>
      <c r="E3" s="22"/>
      <c r="F3" s="22"/>
      <c r="G3" s="23"/>
      <c r="H3" s="10"/>
      <c r="I3" s="11">
        <v>2026</v>
      </c>
      <c r="J3" s="11"/>
      <c r="K3" s="12"/>
      <c r="L3" s="13"/>
      <c r="M3" s="14"/>
      <c r="N3" s="14">
        <v>0</v>
      </c>
      <c r="O3" s="15">
        <f>SUM(L3:M3)-N3</f>
        <v>0</v>
      </c>
      <c r="P3" s="16" t="e">
        <f>O3/J3</f>
        <v>#DIV/0!</v>
      </c>
      <c r="Q3" s="17"/>
      <c r="R3" s="17"/>
      <c r="S3" s="16" t="e">
        <f>ROUNDDOWN(P3*3.595%,-1)</f>
        <v>#DIV/0!</v>
      </c>
      <c r="T3" s="18" t="e">
        <f>ROUNDDOWN(S3*13.14%,-1)</f>
        <v>#DIV/0!</v>
      </c>
      <c r="U3" s="16" t="e">
        <f>S3*K3</f>
        <v>#DIV/0!</v>
      </c>
      <c r="V3" s="16" t="e">
        <f>T3*K3</f>
        <v>#DIV/0!</v>
      </c>
      <c r="W3" s="16" t="e">
        <f>U3-Q3</f>
        <v>#DIV/0!</v>
      </c>
      <c r="X3" s="16" t="e">
        <f>V3-R3</f>
        <v>#DIV/0!</v>
      </c>
      <c r="Y3" s="19"/>
      <c r="Z3" s="19"/>
      <c r="AA3" s="20" t="e">
        <f>W3+Y3</f>
        <v>#DIV/0!</v>
      </c>
      <c r="AB3" s="20" t="e">
        <f>X3+Z3</f>
        <v>#DIV/0!</v>
      </c>
      <c r="AC3" s="17"/>
      <c r="AD3" s="17"/>
      <c r="AF3" s="21" t="e">
        <f>AA3-AC3</f>
        <v>#DIV/0!</v>
      </c>
      <c r="AG3" s="21" t="e">
        <f>AB3-AD3</f>
        <v>#DIV/0!</v>
      </c>
      <c r="AH3" s="21" t="e">
        <f>AF3*2</f>
        <v>#DIV/0!</v>
      </c>
      <c r="AI3" s="21" t="e">
        <f>AG3*2</f>
        <v>#DIV/0!</v>
      </c>
    </row>
    <row r="4" spans="1:35" ht="18.75" customHeight="1" x14ac:dyDescent="0.3">
      <c r="A4" s="24"/>
      <c r="B4" s="25"/>
      <c r="C4" s="25"/>
      <c r="D4" s="25"/>
      <c r="E4" s="25"/>
      <c r="F4" s="25"/>
      <c r="G4" s="26"/>
      <c r="H4" s="46"/>
      <c r="I4" s="24"/>
      <c r="J4" s="24"/>
      <c r="K4" s="24"/>
      <c r="L4" s="27"/>
      <c r="M4" s="28">
        <f>M2+M3</f>
        <v>0</v>
      </c>
      <c r="N4" s="28">
        <f t="shared" ref="N4:AB4" si="0">N2+N3</f>
        <v>0</v>
      </c>
      <c r="O4" s="28">
        <f t="shared" si="0"/>
        <v>0</v>
      </c>
      <c r="P4" s="28" t="e">
        <f t="shared" si="0"/>
        <v>#DIV/0!</v>
      </c>
      <c r="Q4" s="28">
        <f t="shared" si="0"/>
        <v>0</v>
      </c>
      <c r="R4" s="28">
        <f t="shared" si="0"/>
        <v>0</v>
      </c>
      <c r="S4" s="28" t="e">
        <f t="shared" si="0"/>
        <v>#DIV/0!</v>
      </c>
      <c r="T4" s="28" t="e">
        <f t="shared" si="0"/>
        <v>#DIV/0!</v>
      </c>
      <c r="U4" s="28" t="e">
        <f t="shared" si="0"/>
        <v>#DIV/0!</v>
      </c>
      <c r="V4" s="28" t="e">
        <f t="shared" si="0"/>
        <v>#DIV/0!</v>
      </c>
      <c r="W4" s="28" t="e">
        <f t="shared" si="0"/>
        <v>#DIV/0!</v>
      </c>
      <c r="X4" s="28" t="e">
        <f t="shared" si="0"/>
        <v>#DIV/0!</v>
      </c>
      <c r="Y4" s="28">
        <f t="shared" si="0"/>
        <v>0</v>
      </c>
      <c r="Z4" s="28">
        <f t="shared" si="0"/>
        <v>0</v>
      </c>
      <c r="AA4" s="28" t="e">
        <f>AA2+AA3</f>
        <v>#DIV/0!</v>
      </c>
      <c r="AB4" s="28" t="e">
        <f t="shared" si="0"/>
        <v>#DIV/0!</v>
      </c>
      <c r="AC4" s="21" t="e">
        <f>AA4-AC3</f>
        <v>#DIV/0!</v>
      </c>
      <c r="AD4" s="21" t="e">
        <f>AB4-AD3-AD2</f>
        <v>#DIV/0!</v>
      </c>
      <c r="AF4" s="21"/>
      <c r="AG4" s="21"/>
    </row>
    <row r="5" spans="1:35" ht="18.75" customHeight="1" x14ac:dyDescent="0.3">
      <c r="A5" s="36" t="s">
        <v>53</v>
      </c>
      <c r="B5" s="39"/>
      <c r="C5" s="11"/>
      <c r="D5" s="38"/>
      <c r="E5" s="11"/>
      <c r="F5" s="39"/>
      <c r="G5" s="41"/>
      <c r="H5" s="41"/>
      <c r="I5" s="11">
        <v>2025</v>
      </c>
      <c r="J5" s="11"/>
      <c r="K5" s="12"/>
      <c r="L5" s="13"/>
      <c r="M5" s="14"/>
      <c r="N5" s="14">
        <v>0</v>
      </c>
      <c r="O5" s="15">
        <f>SUM(L5:M5)-N5</f>
        <v>0</v>
      </c>
      <c r="P5" s="16"/>
      <c r="Q5" s="17"/>
      <c r="R5" s="17"/>
      <c r="S5" s="16">
        <f>ROUNDDOWN(P5*3.545%,-1)</f>
        <v>0</v>
      </c>
      <c r="T5" s="18">
        <f>ROUNDDOWN(S5*12.95%,-1)</f>
        <v>0</v>
      </c>
      <c r="U5" s="16">
        <f>S5*K5</f>
        <v>0</v>
      </c>
      <c r="V5" s="16">
        <f>T5*K5</f>
        <v>0</v>
      </c>
      <c r="W5" s="16">
        <f>U5-Q5</f>
        <v>0</v>
      </c>
      <c r="X5" s="16">
        <f>V5-R5</f>
        <v>0</v>
      </c>
      <c r="Y5" s="19"/>
      <c r="Z5" s="19"/>
      <c r="AA5" s="20">
        <f>W5+Y5</f>
        <v>0</v>
      </c>
      <c r="AB5" s="20">
        <f>X5+Z5</f>
        <v>0</v>
      </c>
      <c r="AC5" s="17"/>
      <c r="AD5" s="17"/>
      <c r="AF5" s="21">
        <f>AA5-AC5</f>
        <v>0</v>
      </c>
      <c r="AG5" s="21">
        <f>AB5-AD5</f>
        <v>0</v>
      </c>
      <c r="AH5" s="21">
        <f>AF5*2</f>
        <v>0</v>
      </c>
      <c r="AI5" s="21">
        <f>AG5*2</f>
        <v>0</v>
      </c>
    </row>
    <row r="6" spans="1:35" ht="18.75" customHeight="1" x14ac:dyDescent="0.3">
      <c r="A6" s="9"/>
      <c r="B6" s="22"/>
      <c r="C6" s="22"/>
      <c r="D6" s="22"/>
      <c r="E6" s="22"/>
      <c r="F6" s="22"/>
      <c r="G6" s="23"/>
      <c r="H6" s="10"/>
      <c r="I6" s="11">
        <v>2026</v>
      </c>
      <c r="J6" s="11"/>
      <c r="K6" s="12"/>
      <c r="L6" s="13"/>
      <c r="M6" s="14"/>
      <c r="N6" s="14">
        <v>0</v>
      </c>
      <c r="O6" s="15">
        <f>SUM(L6:M6)-N6</f>
        <v>0</v>
      </c>
      <c r="P6" s="16" t="e">
        <f>O6/J6</f>
        <v>#DIV/0!</v>
      </c>
      <c r="Q6" s="17"/>
      <c r="R6" s="17"/>
      <c r="S6" s="16" t="e">
        <f>ROUNDDOWN(P6*3.595%,-1)</f>
        <v>#DIV/0!</v>
      </c>
      <c r="T6" s="18" t="e">
        <f>ROUNDDOWN(S6*13.14%,-1)</f>
        <v>#DIV/0!</v>
      </c>
      <c r="U6" s="16" t="e">
        <f>S6*K6</f>
        <v>#DIV/0!</v>
      </c>
      <c r="V6" s="16" t="e">
        <f>T6*K6</f>
        <v>#DIV/0!</v>
      </c>
      <c r="W6" s="16" t="e">
        <f>U6-Q6</f>
        <v>#DIV/0!</v>
      </c>
      <c r="X6" s="16" t="e">
        <f>V6-R6</f>
        <v>#DIV/0!</v>
      </c>
      <c r="Y6" s="19"/>
      <c r="Z6" s="19"/>
      <c r="AA6" s="20" t="e">
        <f>W6+Y6</f>
        <v>#DIV/0!</v>
      </c>
      <c r="AB6" s="20" t="e">
        <f>X6+Z6</f>
        <v>#DIV/0!</v>
      </c>
      <c r="AC6" s="17"/>
      <c r="AD6" s="17"/>
      <c r="AF6" s="21" t="e">
        <f>AA6-AC6</f>
        <v>#DIV/0!</v>
      </c>
      <c r="AG6" s="21" t="e">
        <f>AB6-AD6</f>
        <v>#DIV/0!</v>
      </c>
      <c r="AH6" s="21" t="e">
        <f>AF6*2</f>
        <v>#DIV/0!</v>
      </c>
      <c r="AI6" s="21" t="e">
        <f>AG6*2</f>
        <v>#DIV/0!</v>
      </c>
    </row>
    <row r="7" spans="1:35" ht="18.75" customHeight="1" x14ac:dyDescent="0.3">
      <c r="A7" s="24"/>
      <c r="B7" s="25"/>
      <c r="C7" s="25"/>
      <c r="D7" s="25"/>
      <c r="E7" s="25"/>
      <c r="F7" s="25"/>
      <c r="G7" s="26"/>
      <c r="H7" s="46"/>
      <c r="I7" s="24"/>
      <c r="J7" s="24"/>
      <c r="K7" s="24"/>
      <c r="L7" s="27"/>
      <c r="M7" s="28">
        <f>M5+M6</f>
        <v>0</v>
      </c>
      <c r="N7" s="28">
        <f t="shared" ref="N7:AB7" si="1">N5+N6</f>
        <v>0</v>
      </c>
      <c r="O7" s="28">
        <f t="shared" si="1"/>
        <v>0</v>
      </c>
      <c r="P7" s="28" t="e">
        <f t="shared" si="1"/>
        <v>#DIV/0!</v>
      </c>
      <c r="Q7" s="28">
        <f t="shared" si="1"/>
        <v>0</v>
      </c>
      <c r="R7" s="28">
        <f t="shared" si="1"/>
        <v>0</v>
      </c>
      <c r="S7" s="28" t="e">
        <f t="shared" si="1"/>
        <v>#DIV/0!</v>
      </c>
      <c r="T7" s="28" t="e">
        <f t="shared" si="1"/>
        <v>#DIV/0!</v>
      </c>
      <c r="U7" s="28" t="e">
        <f t="shared" si="1"/>
        <v>#DIV/0!</v>
      </c>
      <c r="V7" s="28" t="e">
        <f t="shared" si="1"/>
        <v>#DIV/0!</v>
      </c>
      <c r="W7" s="28" t="e">
        <f t="shared" si="1"/>
        <v>#DIV/0!</v>
      </c>
      <c r="X7" s="28" t="e">
        <f t="shared" si="1"/>
        <v>#DIV/0!</v>
      </c>
      <c r="Y7" s="28">
        <f t="shared" si="1"/>
        <v>0</v>
      </c>
      <c r="Z7" s="28">
        <f t="shared" si="1"/>
        <v>0</v>
      </c>
      <c r="AA7" s="28" t="e">
        <f>AA5+AA6</f>
        <v>#DIV/0!</v>
      </c>
      <c r="AB7" s="28" t="e">
        <f t="shared" si="1"/>
        <v>#DIV/0!</v>
      </c>
      <c r="AC7" s="21" t="e">
        <f>AA7-AC6-AC5</f>
        <v>#DIV/0!</v>
      </c>
      <c r="AD7" s="21" t="e">
        <f>AB7-AD6-AD5</f>
        <v>#DIV/0!</v>
      </c>
      <c r="AF7" s="21"/>
      <c r="AG7" s="21"/>
    </row>
    <row r="8" spans="1:35" ht="18.75" customHeight="1" x14ac:dyDescent="0.3">
      <c r="A8" s="36" t="s">
        <v>54</v>
      </c>
      <c r="B8" s="22"/>
      <c r="C8" s="22"/>
      <c r="D8" s="22"/>
      <c r="E8" s="22"/>
      <c r="F8" s="22"/>
      <c r="G8" s="23"/>
      <c r="H8" s="10"/>
      <c r="I8" s="11">
        <v>2025</v>
      </c>
      <c r="J8" s="11"/>
      <c r="K8" s="12"/>
      <c r="L8" s="13"/>
      <c r="M8" s="14"/>
      <c r="N8" s="14">
        <v>0</v>
      </c>
      <c r="O8" s="15">
        <f>SUM(L8:M8)-N8</f>
        <v>0</v>
      </c>
      <c r="P8" s="16"/>
      <c r="Q8" s="17"/>
      <c r="R8" s="17"/>
      <c r="S8" s="16">
        <f>ROUNDDOWN(P8*3.545%,-1)</f>
        <v>0</v>
      </c>
      <c r="T8" s="18">
        <f>ROUNDDOWN(S8*12.95%,-1)</f>
        <v>0</v>
      </c>
      <c r="U8" s="16">
        <f>S8*K8</f>
        <v>0</v>
      </c>
      <c r="V8" s="16">
        <f>T8*K8</f>
        <v>0</v>
      </c>
      <c r="W8" s="16">
        <f>U8-Q8</f>
        <v>0</v>
      </c>
      <c r="X8" s="16">
        <f>V8-R8</f>
        <v>0</v>
      </c>
      <c r="Y8" s="19"/>
      <c r="Z8" s="19"/>
      <c r="AA8" s="20">
        <f>W8+Y8</f>
        <v>0</v>
      </c>
      <c r="AB8" s="20">
        <f>X8+Z8</f>
        <v>0</v>
      </c>
      <c r="AC8" s="17"/>
      <c r="AD8" s="17"/>
      <c r="AF8" s="21">
        <f>AA8-AC8</f>
        <v>0</v>
      </c>
      <c r="AG8" s="21">
        <f>AB8-AD8</f>
        <v>0</v>
      </c>
      <c r="AH8" s="21">
        <f>AF8*2</f>
        <v>0</v>
      </c>
      <c r="AI8" s="21">
        <f>AG8*2</f>
        <v>0</v>
      </c>
    </row>
    <row r="9" spans="1:35" ht="18.75" customHeight="1" x14ac:dyDescent="0.3">
      <c r="A9" s="9"/>
      <c r="B9" s="22"/>
      <c r="C9" s="22"/>
      <c r="D9" s="22"/>
      <c r="E9" s="22"/>
      <c r="F9" s="22"/>
      <c r="G9" s="23"/>
      <c r="H9" s="10"/>
      <c r="I9" s="11">
        <v>2026</v>
      </c>
      <c r="J9" s="11"/>
      <c r="K9" s="12"/>
      <c r="L9" s="13"/>
      <c r="M9" s="14"/>
      <c r="N9" s="14">
        <v>0</v>
      </c>
      <c r="O9" s="15">
        <f>SUM(L9:M9)-N9</f>
        <v>0</v>
      </c>
      <c r="P9" s="16" t="e">
        <f>O9/J9</f>
        <v>#DIV/0!</v>
      </c>
      <c r="Q9" s="17"/>
      <c r="R9" s="17"/>
      <c r="S9" s="16" t="e">
        <f>ROUNDDOWN(P9*3.595%,-1)</f>
        <v>#DIV/0!</v>
      </c>
      <c r="T9" s="18" t="e">
        <f>ROUNDDOWN(S9*13.14%,-1)</f>
        <v>#DIV/0!</v>
      </c>
      <c r="U9" s="16" t="e">
        <f>S9*K9</f>
        <v>#DIV/0!</v>
      </c>
      <c r="V9" s="16" t="e">
        <f>T9*K9</f>
        <v>#DIV/0!</v>
      </c>
      <c r="W9" s="16" t="e">
        <f>U9-Q9</f>
        <v>#DIV/0!</v>
      </c>
      <c r="X9" s="16" t="e">
        <f>V9-R9</f>
        <v>#DIV/0!</v>
      </c>
      <c r="Y9" s="19"/>
      <c r="Z9" s="19"/>
      <c r="AA9" s="20" t="e">
        <f>W9+Y9</f>
        <v>#DIV/0!</v>
      </c>
      <c r="AB9" s="20" t="e">
        <f>X9+Z9</f>
        <v>#DIV/0!</v>
      </c>
      <c r="AC9" s="17"/>
      <c r="AD9" s="17"/>
      <c r="AF9" s="21" t="e">
        <f>AA9-AC9</f>
        <v>#DIV/0!</v>
      </c>
      <c r="AG9" s="21" t="e">
        <f>AB9-AD9</f>
        <v>#DIV/0!</v>
      </c>
      <c r="AH9" s="21" t="e">
        <f>AF9*2</f>
        <v>#DIV/0!</v>
      </c>
      <c r="AI9" s="21" t="e">
        <f>AG9*2</f>
        <v>#DIV/0!</v>
      </c>
    </row>
    <row r="10" spans="1:35" ht="18.75" customHeight="1" x14ac:dyDescent="0.3">
      <c r="A10" s="24"/>
      <c r="B10" s="25"/>
      <c r="C10" s="25"/>
      <c r="D10" s="25"/>
      <c r="E10" s="25"/>
      <c r="F10" s="25"/>
      <c r="G10" s="26"/>
      <c r="H10" s="46"/>
      <c r="I10" s="24"/>
      <c r="J10" s="24"/>
      <c r="K10" s="24"/>
      <c r="L10" s="27"/>
      <c r="M10" s="28">
        <f>M8+M9</f>
        <v>0</v>
      </c>
      <c r="N10" s="28">
        <f t="shared" ref="N10:AB10" si="2">N8+N9</f>
        <v>0</v>
      </c>
      <c r="O10" s="28">
        <f t="shared" si="2"/>
        <v>0</v>
      </c>
      <c r="P10" s="28" t="e">
        <f t="shared" si="2"/>
        <v>#DIV/0!</v>
      </c>
      <c r="Q10" s="28">
        <f t="shared" si="2"/>
        <v>0</v>
      </c>
      <c r="R10" s="28">
        <f t="shared" si="2"/>
        <v>0</v>
      </c>
      <c r="S10" s="28" t="e">
        <f t="shared" si="2"/>
        <v>#DIV/0!</v>
      </c>
      <c r="T10" s="28" t="e">
        <f t="shared" si="2"/>
        <v>#DIV/0!</v>
      </c>
      <c r="U10" s="28" t="e">
        <f t="shared" si="2"/>
        <v>#DIV/0!</v>
      </c>
      <c r="V10" s="28" t="e">
        <f t="shared" si="2"/>
        <v>#DIV/0!</v>
      </c>
      <c r="W10" s="28" t="e">
        <f t="shared" si="2"/>
        <v>#DIV/0!</v>
      </c>
      <c r="X10" s="28" t="e">
        <f t="shared" si="2"/>
        <v>#DIV/0!</v>
      </c>
      <c r="Y10" s="28">
        <f t="shared" si="2"/>
        <v>0</v>
      </c>
      <c r="Z10" s="28">
        <f t="shared" si="2"/>
        <v>0</v>
      </c>
      <c r="AA10" s="28" t="e">
        <f>AA8+AA9</f>
        <v>#DIV/0!</v>
      </c>
      <c r="AB10" s="28" t="e">
        <f t="shared" si="2"/>
        <v>#DIV/0!</v>
      </c>
      <c r="AC10" s="21" t="e">
        <f>AA10-AC8-AC9</f>
        <v>#DIV/0!</v>
      </c>
      <c r="AD10" s="21" t="e">
        <f>AB10-AD8-AD9</f>
        <v>#DIV/0!</v>
      </c>
      <c r="AF10" s="21"/>
      <c r="AG10" s="21"/>
    </row>
    <row r="11" spans="1:35" ht="18.75" customHeight="1" x14ac:dyDescent="0.3">
      <c r="A11" s="36" t="s">
        <v>55</v>
      </c>
      <c r="B11" s="22"/>
      <c r="C11" s="22"/>
      <c r="D11" s="22"/>
      <c r="E11" s="22"/>
      <c r="F11" s="22"/>
      <c r="G11" s="23"/>
      <c r="H11" s="10"/>
      <c r="I11" s="11">
        <v>2025</v>
      </c>
      <c r="J11" s="11"/>
      <c r="K11" s="12"/>
      <c r="L11" s="13"/>
      <c r="M11" s="14"/>
      <c r="N11" s="14">
        <v>0</v>
      </c>
      <c r="O11" s="15">
        <f>SUM(L11:M11)-N11</f>
        <v>0</v>
      </c>
      <c r="P11" s="16"/>
      <c r="Q11" s="17"/>
      <c r="R11" s="17"/>
      <c r="S11" s="16">
        <f>ROUNDDOWN(P11*3.545%,-1)</f>
        <v>0</v>
      </c>
      <c r="T11" s="18">
        <f>ROUNDDOWN(S11*12.95%,-1)</f>
        <v>0</v>
      </c>
      <c r="U11" s="16">
        <f>S11*K11</f>
        <v>0</v>
      </c>
      <c r="V11" s="16">
        <f>T11*K11</f>
        <v>0</v>
      </c>
      <c r="W11" s="16">
        <f>U11-Q11</f>
        <v>0</v>
      </c>
      <c r="X11" s="16">
        <f>V11-R11</f>
        <v>0</v>
      </c>
      <c r="Y11" s="19"/>
      <c r="Z11" s="19"/>
      <c r="AA11" s="20">
        <f>W11+Y11</f>
        <v>0</v>
      </c>
      <c r="AB11" s="20">
        <f>X11+Z11</f>
        <v>0</v>
      </c>
      <c r="AC11" s="17"/>
      <c r="AD11" s="17"/>
      <c r="AF11" s="21">
        <f>AA11-AC11</f>
        <v>0</v>
      </c>
      <c r="AG11" s="21">
        <f>AB11-AD11</f>
        <v>0</v>
      </c>
      <c r="AH11" s="21">
        <f>AF11*2</f>
        <v>0</v>
      </c>
      <c r="AI11" s="21">
        <f>AG11*2</f>
        <v>0</v>
      </c>
    </row>
    <row r="12" spans="1:35" ht="18.75" customHeight="1" x14ac:dyDescent="0.3">
      <c r="A12" s="9"/>
      <c r="B12" s="22"/>
      <c r="C12" s="22"/>
      <c r="D12" s="22"/>
      <c r="E12" s="22"/>
      <c r="F12" s="22"/>
      <c r="G12" s="23"/>
      <c r="H12" s="10"/>
      <c r="I12" s="11">
        <v>2026</v>
      </c>
      <c r="J12" s="11"/>
      <c r="K12" s="12"/>
      <c r="L12" s="13"/>
      <c r="M12" s="14"/>
      <c r="N12" s="14">
        <v>0</v>
      </c>
      <c r="O12" s="15">
        <f>SUM(L12:M12)-N12</f>
        <v>0</v>
      </c>
      <c r="P12" s="16" t="e">
        <f>O12/J12</f>
        <v>#DIV/0!</v>
      </c>
      <c r="Q12" s="17"/>
      <c r="R12" s="17"/>
      <c r="S12" s="16" t="e">
        <f>ROUNDDOWN(P12*3.595%,-1)</f>
        <v>#DIV/0!</v>
      </c>
      <c r="T12" s="18" t="e">
        <f>ROUNDDOWN(S12*13.14%,-1)</f>
        <v>#DIV/0!</v>
      </c>
      <c r="U12" s="16" t="e">
        <f>S12*K12</f>
        <v>#DIV/0!</v>
      </c>
      <c r="V12" s="16" t="e">
        <f>T12*K12</f>
        <v>#DIV/0!</v>
      </c>
      <c r="W12" s="16" t="e">
        <f>U12-Q12</f>
        <v>#DIV/0!</v>
      </c>
      <c r="X12" s="16" t="e">
        <f>V12-R12</f>
        <v>#DIV/0!</v>
      </c>
      <c r="Y12" s="19"/>
      <c r="Z12" s="19"/>
      <c r="AA12" s="20" t="e">
        <f>W12+Y12</f>
        <v>#DIV/0!</v>
      </c>
      <c r="AB12" s="20" t="e">
        <f>X12+Z12</f>
        <v>#DIV/0!</v>
      </c>
      <c r="AC12" s="17"/>
      <c r="AD12" s="17"/>
      <c r="AF12" s="21" t="e">
        <f>AA12-AC12</f>
        <v>#DIV/0!</v>
      </c>
      <c r="AG12" s="21" t="e">
        <f>AB12-AD12</f>
        <v>#DIV/0!</v>
      </c>
      <c r="AH12" s="21" t="e">
        <f>AF12*2</f>
        <v>#DIV/0!</v>
      </c>
      <c r="AI12" s="21" t="e">
        <f>AG12*2</f>
        <v>#DIV/0!</v>
      </c>
    </row>
    <row r="13" spans="1:35" ht="18.75" customHeight="1" x14ac:dyDescent="0.3">
      <c r="A13" s="24"/>
      <c r="B13" s="25"/>
      <c r="C13" s="25"/>
      <c r="D13" s="25"/>
      <c r="E13" s="25"/>
      <c r="F13" s="25"/>
      <c r="G13" s="26"/>
      <c r="H13" s="46"/>
      <c r="I13" s="24"/>
      <c r="J13" s="24"/>
      <c r="K13" s="24"/>
      <c r="L13" s="27"/>
      <c r="M13" s="28">
        <f>M11+M12</f>
        <v>0</v>
      </c>
      <c r="N13" s="28">
        <f t="shared" ref="N13:AB13" si="3">N11+N12</f>
        <v>0</v>
      </c>
      <c r="O13" s="28">
        <f t="shared" si="3"/>
        <v>0</v>
      </c>
      <c r="P13" s="28" t="e">
        <f t="shared" si="3"/>
        <v>#DIV/0!</v>
      </c>
      <c r="Q13" s="28">
        <f t="shared" si="3"/>
        <v>0</v>
      </c>
      <c r="R13" s="28">
        <f t="shared" si="3"/>
        <v>0</v>
      </c>
      <c r="S13" s="28" t="e">
        <f t="shared" si="3"/>
        <v>#DIV/0!</v>
      </c>
      <c r="T13" s="28" t="e">
        <f t="shared" si="3"/>
        <v>#DIV/0!</v>
      </c>
      <c r="U13" s="28" t="e">
        <f t="shared" si="3"/>
        <v>#DIV/0!</v>
      </c>
      <c r="V13" s="28" t="e">
        <f t="shared" si="3"/>
        <v>#DIV/0!</v>
      </c>
      <c r="W13" s="28" t="e">
        <f t="shared" si="3"/>
        <v>#DIV/0!</v>
      </c>
      <c r="X13" s="28" t="e">
        <f t="shared" si="3"/>
        <v>#DIV/0!</v>
      </c>
      <c r="Y13" s="28">
        <f t="shared" si="3"/>
        <v>0</v>
      </c>
      <c r="Z13" s="28">
        <f t="shared" si="3"/>
        <v>0</v>
      </c>
      <c r="AA13" s="28" t="e">
        <f>AA11+AA12</f>
        <v>#DIV/0!</v>
      </c>
      <c r="AB13" s="28" t="e">
        <f t="shared" si="3"/>
        <v>#DIV/0!</v>
      </c>
      <c r="AC13" s="21" t="e">
        <f>AA13-AC11-AC12</f>
        <v>#DIV/0!</v>
      </c>
      <c r="AD13" s="21" t="e">
        <f>AB13-AD11-AD12</f>
        <v>#DIV/0!</v>
      </c>
      <c r="AF13" s="21"/>
      <c r="AG13" s="21"/>
    </row>
    <row r="14" spans="1:35" ht="18.75" customHeight="1" x14ac:dyDescent="0.3">
      <c r="A14" s="36" t="s">
        <v>56</v>
      </c>
      <c r="B14" s="22"/>
      <c r="C14" s="22"/>
      <c r="D14" s="22"/>
      <c r="E14" s="22"/>
      <c r="F14" s="22"/>
      <c r="G14" s="23"/>
      <c r="H14" s="10"/>
      <c r="I14" s="11">
        <v>2025</v>
      </c>
      <c r="J14" s="11"/>
      <c r="K14" s="12"/>
      <c r="L14" s="13"/>
      <c r="M14" s="14"/>
      <c r="N14" s="14">
        <v>0</v>
      </c>
      <c r="O14" s="15">
        <f>SUM(L14:M14)-N14</f>
        <v>0</v>
      </c>
      <c r="P14" s="16"/>
      <c r="Q14" s="17"/>
      <c r="R14" s="17"/>
      <c r="S14" s="16">
        <f>ROUNDDOWN(P14*3.545%,-1)</f>
        <v>0</v>
      </c>
      <c r="T14" s="18">
        <f>ROUNDDOWN(S14*12.95%,-1)</f>
        <v>0</v>
      </c>
      <c r="U14" s="16">
        <f>S14*K14</f>
        <v>0</v>
      </c>
      <c r="V14" s="16">
        <f>T14*K14</f>
        <v>0</v>
      </c>
      <c r="W14" s="16">
        <f>U14-Q14</f>
        <v>0</v>
      </c>
      <c r="X14" s="16">
        <f>V14-R14</f>
        <v>0</v>
      </c>
      <c r="Y14" s="19"/>
      <c r="Z14" s="19"/>
      <c r="AA14" s="20">
        <f>W14+Y14</f>
        <v>0</v>
      </c>
      <c r="AB14" s="20">
        <f>X14+Z14</f>
        <v>0</v>
      </c>
      <c r="AC14" s="17"/>
      <c r="AD14" s="17"/>
      <c r="AF14" s="21">
        <f>AA14-AC14</f>
        <v>0</v>
      </c>
      <c r="AG14" s="21">
        <f>AB14-AD14</f>
        <v>0</v>
      </c>
      <c r="AH14" s="21">
        <f>AF14*2</f>
        <v>0</v>
      </c>
      <c r="AI14" s="21">
        <f>AG14*2</f>
        <v>0</v>
      </c>
    </row>
    <row r="15" spans="1:35" ht="18.75" customHeight="1" x14ac:dyDescent="0.3">
      <c r="A15" s="9"/>
      <c r="B15" s="22"/>
      <c r="C15" s="22"/>
      <c r="D15" s="22"/>
      <c r="E15" s="22"/>
      <c r="F15" s="22"/>
      <c r="G15" s="23"/>
      <c r="H15" s="10"/>
      <c r="I15" s="11">
        <v>2026</v>
      </c>
      <c r="J15" s="11"/>
      <c r="K15" s="12"/>
      <c r="L15" s="13"/>
      <c r="M15" s="14"/>
      <c r="N15" s="14">
        <v>0</v>
      </c>
      <c r="O15" s="15">
        <f>SUM(L15:M15)-N15</f>
        <v>0</v>
      </c>
      <c r="P15" s="16" t="e">
        <f>O15/J15</f>
        <v>#DIV/0!</v>
      </c>
      <c r="Q15" s="17"/>
      <c r="R15" s="17"/>
      <c r="S15" s="16" t="e">
        <f>ROUNDDOWN(P15*3.595%,-1)</f>
        <v>#DIV/0!</v>
      </c>
      <c r="T15" s="18" t="e">
        <f>ROUNDDOWN(S15*13.14%,-1)</f>
        <v>#DIV/0!</v>
      </c>
      <c r="U15" s="16" t="e">
        <f>S15*K15</f>
        <v>#DIV/0!</v>
      </c>
      <c r="V15" s="16" t="e">
        <f>T15*K15</f>
        <v>#DIV/0!</v>
      </c>
      <c r="W15" s="16" t="e">
        <f>U15-Q15</f>
        <v>#DIV/0!</v>
      </c>
      <c r="X15" s="16" t="e">
        <f>V15-R15</f>
        <v>#DIV/0!</v>
      </c>
      <c r="Y15" s="19"/>
      <c r="Z15" s="19"/>
      <c r="AA15" s="20" t="e">
        <f>W15+Y15</f>
        <v>#DIV/0!</v>
      </c>
      <c r="AB15" s="20" t="e">
        <f>X15+Z15</f>
        <v>#DIV/0!</v>
      </c>
      <c r="AC15" s="17"/>
      <c r="AD15" s="17"/>
      <c r="AF15" s="21" t="e">
        <f>AA15-AC15</f>
        <v>#DIV/0!</v>
      </c>
      <c r="AG15" s="21" t="e">
        <f>AB15-AD15</f>
        <v>#DIV/0!</v>
      </c>
      <c r="AH15" s="21" t="e">
        <f>AF15*2</f>
        <v>#DIV/0!</v>
      </c>
      <c r="AI15" s="21" t="e">
        <f>AG15*2</f>
        <v>#DIV/0!</v>
      </c>
    </row>
    <row r="16" spans="1:35" ht="18.75" customHeight="1" x14ac:dyDescent="0.3">
      <c r="A16" s="24"/>
      <c r="B16" s="25"/>
      <c r="C16" s="25"/>
      <c r="D16" s="25"/>
      <c r="E16" s="25"/>
      <c r="F16" s="25"/>
      <c r="G16" s="26"/>
      <c r="H16" s="46"/>
      <c r="I16" s="24"/>
      <c r="J16" s="24"/>
      <c r="K16" s="24"/>
      <c r="L16" s="27"/>
      <c r="M16" s="28">
        <f>M14+M15</f>
        <v>0</v>
      </c>
      <c r="N16" s="28">
        <f t="shared" ref="N16:AB16" si="4">N14+N15</f>
        <v>0</v>
      </c>
      <c r="O16" s="28">
        <f t="shared" si="4"/>
        <v>0</v>
      </c>
      <c r="P16" s="28" t="e">
        <f t="shared" si="4"/>
        <v>#DIV/0!</v>
      </c>
      <c r="Q16" s="28">
        <f t="shared" si="4"/>
        <v>0</v>
      </c>
      <c r="R16" s="28">
        <f t="shared" si="4"/>
        <v>0</v>
      </c>
      <c r="S16" s="28" t="e">
        <f t="shared" si="4"/>
        <v>#DIV/0!</v>
      </c>
      <c r="T16" s="28" t="e">
        <f t="shared" si="4"/>
        <v>#DIV/0!</v>
      </c>
      <c r="U16" s="28" t="e">
        <f t="shared" si="4"/>
        <v>#DIV/0!</v>
      </c>
      <c r="V16" s="28" t="e">
        <f t="shared" si="4"/>
        <v>#DIV/0!</v>
      </c>
      <c r="W16" s="28" t="e">
        <f t="shared" si="4"/>
        <v>#DIV/0!</v>
      </c>
      <c r="X16" s="28" t="e">
        <f t="shared" si="4"/>
        <v>#DIV/0!</v>
      </c>
      <c r="Y16" s="28">
        <f t="shared" si="4"/>
        <v>0</v>
      </c>
      <c r="Z16" s="28">
        <f t="shared" si="4"/>
        <v>0</v>
      </c>
      <c r="AA16" s="28" t="e">
        <f>AA14+AA15</f>
        <v>#DIV/0!</v>
      </c>
      <c r="AB16" s="28" t="e">
        <f t="shared" si="4"/>
        <v>#DIV/0!</v>
      </c>
      <c r="AC16" s="21" t="e">
        <f>AA16-AC14-AC15</f>
        <v>#DIV/0!</v>
      </c>
      <c r="AD16" s="21" t="e">
        <f>AB16-AD14-AD15</f>
        <v>#DIV/0!</v>
      </c>
      <c r="AF16" s="21"/>
      <c r="AG16" s="21"/>
    </row>
    <row r="17" spans="1:27" ht="16.5" x14ac:dyDescent="0.3">
      <c r="B17" s="29"/>
      <c r="G17" s="58"/>
      <c r="H17" s="58"/>
    </row>
    <row r="18" spans="1:27" ht="16.5" x14ac:dyDescent="0.3">
      <c r="B18" s="32"/>
      <c r="C18" s="33"/>
      <c r="D18" s="33"/>
      <c r="E18" s="33"/>
      <c r="F18" s="33"/>
      <c r="H18" s="21"/>
    </row>
    <row r="20" spans="1:27" ht="51" x14ac:dyDescent="0.3">
      <c r="A20" s="34" t="s">
        <v>27</v>
      </c>
      <c r="B20" s="34" t="s">
        <v>28</v>
      </c>
      <c r="C20" s="34" t="s">
        <v>29</v>
      </c>
      <c r="D20" s="34"/>
      <c r="E20" s="34"/>
      <c r="F20" s="34"/>
      <c r="G20" s="34" t="s">
        <v>30</v>
      </c>
      <c r="H20" s="34" t="s">
        <v>31</v>
      </c>
      <c r="I20" s="34" t="s">
        <v>32</v>
      </c>
      <c r="J20" s="34" t="s">
        <v>33</v>
      </c>
      <c r="K20" s="34" t="s">
        <v>34</v>
      </c>
      <c r="L20" s="34" t="s">
        <v>35</v>
      </c>
      <c r="M20" s="34" t="s">
        <v>36</v>
      </c>
      <c r="N20" s="34" t="s">
        <v>37</v>
      </c>
      <c r="O20" s="34" t="s">
        <v>38</v>
      </c>
      <c r="P20" s="34" t="s">
        <v>39</v>
      </c>
      <c r="Q20" s="34" t="s">
        <v>40</v>
      </c>
      <c r="R20" s="34" t="s">
        <v>41</v>
      </c>
      <c r="S20" s="34" t="s">
        <v>42</v>
      </c>
      <c r="T20" s="34" t="s">
        <v>43</v>
      </c>
      <c r="U20" s="34" t="s">
        <v>44</v>
      </c>
      <c r="V20" s="34" t="s">
        <v>45</v>
      </c>
      <c r="W20" s="34" t="s">
        <v>46</v>
      </c>
      <c r="X20" s="34" t="s">
        <v>47</v>
      </c>
      <c r="Y20" s="35" t="s">
        <v>48</v>
      </c>
      <c r="Z20" s="35" t="s">
        <v>49</v>
      </c>
      <c r="AA20" s="35" t="s">
        <v>50</v>
      </c>
    </row>
    <row r="21" spans="1:27" customFormat="1" ht="16.5" x14ac:dyDescent="0.3">
      <c r="A21" s="50"/>
      <c r="B21" s="51"/>
      <c r="C21" s="52"/>
      <c r="D21" s="52"/>
      <c r="E21" s="52"/>
      <c r="F21" s="52"/>
      <c r="G21" s="52"/>
      <c r="H21" s="51"/>
      <c r="I21" s="52"/>
      <c r="J21" s="51"/>
      <c r="K21" s="53"/>
      <c r="L21" s="53"/>
      <c r="M21" s="53"/>
      <c r="N21" s="53"/>
      <c r="O21" s="53"/>
      <c r="P21" s="53"/>
      <c r="Q21" s="51"/>
      <c r="R21" s="52"/>
      <c r="S21" s="51"/>
      <c r="T21" s="53"/>
      <c r="U21" s="52"/>
    </row>
    <row r="22" spans="1:27" customFormat="1" ht="16.5" x14ac:dyDescent="0.3">
      <c r="A22" s="54"/>
      <c r="B22" s="55"/>
      <c r="C22" s="56"/>
      <c r="D22" s="56"/>
      <c r="E22" s="56"/>
      <c r="F22" s="56"/>
      <c r="G22" s="56"/>
      <c r="H22" s="55"/>
      <c r="I22" s="56"/>
      <c r="J22" s="55"/>
      <c r="K22" s="57"/>
      <c r="L22" s="57"/>
      <c r="M22" s="57"/>
      <c r="N22" s="57"/>
      <c r="O22" s="57"/>
      <c r="P22" s="57"/>
      <c r="Q22" s="55"/>
      <c r="R22" s="56"/>
      <c r="S22" s="55"/>
      <c r="T22" s="57"/>
      <c r="U22" s="56"/>
    </row>
    <row r="23" spans="1:27" customFormat="1" ht="16.5" x14ac:dyDescent="0.3">
      <c r="A23" s="42"/>
      <c r="B23" s="44"/>
      <c r="C23" s="43"/>
      <c r="D23" s="43"/>
      <c r="E23" s="43"/>
      <c r="F23" s="43"/>
      <c r="G23" s="43"/>
      <c r="H23" s="44"/>
      <c r="I23" s="43"/>
      <c r="J23" s="44"/>
      <c r="K23" s="45"/>
      <c r="L23" s="45"/>
      <c r="M23" s="45"/>
      <c r="N23" s="45"/>
      <c r="O23" s="45"/>
      <c r="P23" s="45"/>
      <c r="Q23" s="44"/>
      <c r="R23" s="43"/>
      <c r="S23" s="44"/>
      <c r="T23" s="45"/>
      <c r="U23" s="43"/>
    </row>
    <row r="24" spans="1:27" customFormat="1" ht="16.5" x14ac:dyDescent="0.3">
      <c r="A24" s="42"/>
      <c r="B24" s="44"/>
      <c r="C24" s="43"/>
      <c r="D24" s="43"/>
      <c r="E24" s="43"/>
      <c r="F24" s="43"/>
      <c r="G24" s="43"/>
      <c r="H24" s="44"/>
      <c r="I24" s="43"/>
      <c r="J24" s="44"/>
      <c r="K24" s="45"/>
      <c r="L24" s="45"/>
      <c r="M24" s="45"/>
      <c r="N24" s="45"/>
      <c r="O24" s="45"/>
      <c r="P24" s="45"/>
      <c r="Q24" s="44"/>
      <c r="R24" s="43"/>
      <c r="S24" s="44"/>
      <c r="T24" s="45"/>
      <c r="U24" s="43"/>
    </row>
    <row r="25" spans="1:27" customFormat="1" ht="16.5" x14ac:dyDescent="0.3">
      <c r="A25" s="42"/>
      <c r="B25" s="44"/>
      <c r="C25" s="43"/>
      <c r="D25" s="43"/>
      <c r="E25" s="43"/>
      <c r="F25" s="43"/>
      <c r="G25" s="43"/>
      <c r="H25" s="44"/>
      <c r="I25" s="43"/>
      <c r="J25" s="44"/>
      <c r="K25" s="45"/>
      <c r="L25" s="45"/>
      <c r="M25" s="45"/>
      <c r="N25" s="45"/>
      <c r="O25" s="45"/>
      <c r="P25" s="45"/>
      <c r="Q25" s="44"/>
      <c r="R25" s="43"/>
      <c r="S25" s="44"/>
      <c r="T25" s="45"/>
      <c r="U25" s="43"/>
    </row>
    <row r="26" spans="1:27" customFormat="1" ht="16.5" x14ac:dyDescent="0.3">
      <c r="A26" s="42"/>
      <c r="B26" s="44"/>
      <c r="C26" s="43"/>
      <c r="D26" s="43"/>
      <c r="E26" s="43"/>
      <c r="F26" s="43"/>
      <c r="G26" s="43"/>
      <c r="H26" s="44"/>
      <c r="I26" s="43"/>
      <c r="J26" s="44"/>
      <c r="K26" s="45"/>
      <c r="L26" s="45"/>
      <c r="M26" s="45"/>
      <c r="N26" s="45"/>
      <c r="O26" s="45"/>
      <c r="P26" s="45"/>
      <c r="Q26" s="44"/>
      <c r="R26" s="43"/>
      <c r="S26" s="44"/>
      <c r="T26" s="45"/>
      <c r="U26" s="43"/>
    </row>
    <row r="27" spans="1:27" customFormat="1" ht="16.5" x14ac:dyDescent="0.3">
      <c r="A27" s="42"/>
      <c r="B27" s="44"/>
      <c r="C27" s="43"/>
      <c r="D27" s="43"/>
      <c r="E27" s="43"/>
      <c r="F27" s="43"/>
      <c r="G27" s="43"/>
      <c r="H27" s="44"/>
      <c r="I27" s="43"/>
      <c r="J27" s="44"/>
      <c r="K27" s="45"/>
      <c r="L27" s="45"/>
      <c r="M27" s="45"/>
      <c r="N27" s="45"/>
      <c r="O27" s="45"/>
      <c r="P27" s="45"/>
      <c r="Q27" s="44"/>
      <c r="R27" s="43"/>
      <c r="S27" s="44"/>
      <c r="T27" s="45"/>
      <c r="U27" s="43"/>
    </row>
    <row r="28" spans="1:27" customFormat="1" ht="16.5" x14ac:dyDescent="0.3">
      <c r="A28" s="42"/>
      <c r="B28" s="44"/>
      <c r="C28" s="43"/>
      <c r="D28" s="43"/>
      <c r="E28" s="43"/>
      <c r="F28" s="43"/>
      <c r="G28" s="43"/>
      <c r="H28" s="44"/>
      <c r="I28" s="43"/>
      <c r="J28" s="44"/>
      <c r="K28" s="45"/>
      <c r="L28" s="45"/>
      <c r="M28" s="45"/>
      <c r="N28" s="45"/>
      <c r="O28" s="45"/>
      <c r="P28" s="45"/>
      <c r="Q28" s="44"/>
      <c r="R28" s="43"/>
      <c r="S28" s="44"/>
      <c r="T28" s="45"/>
      <c r="U28" s="43"/>
    </row>
    <row r="29" spans="1:27" customFormat="1" ht="16.5" x14ac:dyDescent="0.3">
      <c r="A29" s="42"/>
      <c r="B29" s="44"/>
      <c r="C29" s="43"/>
      <c r="D29" s="43"/>
      <c r="E29" s="43"/>
      <c r="F29" s="43"/>
      <c r="G29" s="43"/>
      <c r="H29" s="44"/>
      <c r="I29" s="43"/>
      <c r="J29" s="44"/>
      <c r="K29" s="45"/>
      <c r="L29" s="45"/>
      <c r="M29" s="45"/>
      <c r="N29" s="45"/>
      <c r="O29" s="45"/>
      <c r="P29" s="45"/>
      <c r="Q29" s="44"/>
      <c r="R29" s="43"/>
      <c r="S29" s="44"/>
      <c r="T29" s="45"/>
      <c r="U29" s="43"/>
    </row>
    <row r="30" spans="1:27" customFormat="1" ht="16.5" x14ac:dyDescent="0.3">
      <c r="A30" s="42"/>
      <c r="B30" s="44"/>
      <c r="C30" s="43"/>
      <c r="D30" s="43"/>
      <c r="E30" s="43"/>
      <c r="F30" s="43"/>
      <c r="G30" s="43"/>
      <c r="H30" s="44"/>
      <c r="I30" s="43"/>
      <c r="J30" s="44"/>
      <c r="K30" s="45"/>
      <c r="L30" s="45"/>
      <c r="M30" s="45"/>
      <c r="N30" s="45"/>
      <c r="O30" s="45"/>
      <c r="P30" s="45"/>
      <c r="Q30" s="44"/>
      <c r="R30" s="43"/>
      <c r="S30" s="44"/>
      <c r="T30" s="45"/>
      <c r="U30" s="43"/>
    </row>
    <row r="31" spans="1:27" customFormat="1" ht="16.5" x14ac:dyDescent="0.3">
      <c r="A31" s="42"/>
      <c r="B31" s="44"/>
      <c r="C31" s="43"/>
      <c r="D31" s="43"/>
      <c r="E31" s="43"/>
      <c r="F31" s="43"/>
      <c r="G31" s="43"/>
      <c r="H31" s="44"/>
      <c r="I31" s="43"/>
      <c r="J31" s="44"/>
      <c r="K31" s="45"/>
      <c r="L31" s="45"/>
      <c r="M31" s="45"/>
      <c r="N31" s="45"/>
      <c r="O31" s="45"/>
      <c r="P31" s="45"/>
      <c r="Q31" s="44"/>
      <c r="R31" s="43"/>
      <c r="S31" s="44"/>
      <c r="T31" s="45"/>
      <c r="U31" s="43"/>
    </row>
  </sheetData>
  <autoFilter ref="A1:AB1" xr:uid="{00000000-0009-0000-0000-000000000000}"/>
  <mergeCells count="1">
    <mergeCell ref="G17:H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7월 상실자</vt:lpstr>
      <vt:lpstr>'7월 상실자'!_FilterDatabase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솔 이</dc:creator>
  <cp:lastModifiedBy>솔 이</cp:lastModifiedBy>
  <dcterms:created xsi:type="dcterms:W3CDTF">2025-03-11T01:54:50Z</dcterms:created>
  <dcterms:modified xsi:type="dcterms:W3CDTF">2026-07-23T08:59:04Z</dcterms:modified>
</cp:coreProperties>
</file>